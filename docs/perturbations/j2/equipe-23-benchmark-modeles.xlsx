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isque local D\mesprog\apocalippsi\IPSSI_APOCAL_KIT_GRP23\docs\perturbations\j2\"/>
    </mc:Choice>
  </mc:AlternateContent>
  <xr:revisionPtr revIDLastSave="0" documentId="13_ncr:1_{B16E8AFC-11D6-4883-9CB5-9DBEDF1809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tocole" sheetId="1" r:id="rId1"/>
    <sheet name="Résultats" sheetId="2" r:id="rId2"/>
    <sheet name="Grille qualité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3" l="1"/>
  <c r="D11" i="3"/>
  <c r="C11" i="3"/>
</calcChain>
</file>

<file path=xl/sharedStrings.xml><?xml version="1.0" encoding="utf-8"?>
<sst xmlns="http://schemas.openxmlformats.org/spreadsheetml/2006/main" count="151" uniqueCount="95">
  <si>
    <t>BENCHMARK J2 — PROTOCOLE</t>
  </si>
  <si>
    <t>« Mesurer avant d'optimiser » — protocole reproductible de comparaison des modèles.</t>
  </si>
  <si>
    <t>PARAMÈTRES (à figer avant les runs)</t>
  </si>
  <si>
    <t>Cours de référence</t>
  </si>
  <si>
    <t>equipe-23-cours-reference-algorithmique.md (entrée identique pour tous les modèles)</t>
  </si>
  <si>
    <t>Nombre de runs mesurés</t>
  </si>
  <si>
    <t>5 par modèle</t>
  </si>
  <si>
    <t>Runs de chauffe (ignorés)</t>
  </si>
  <si>
    <t>1 (charge le modèle en VRAM avant la mesure)</t>
  </si>
  <si>
    <t>Machine</t>
  </si>
  <si>
    <t>Métriques</t>
  </si>
  <si>
    <t>latence p50 (médiane) + p95 · taux de succès · taille disque/VRAM · qualité /5</t>
  </si>
  <si>
    <t>Modèles comparés</t>
  </si>
  <si>
    <t>llama3.1:8b (actuel) + llama3.2:3b + phi3:mini (option cloud : groq llama-3.3-70b)</t>
  </si>
  <si>
    <t>Objectif (CA-J2-6)</t>
  </si>
  <si>
    <t>Temps de génération ≤ 15 s sur le cours de référence</t>
  </si>
  <si>
    <t>MODE D'EMPLOI (commandes)</t>
  </si>
  <si>
    <t>1. docker compose up -d</t>
  </si>
  <si>
    <t>2. docker exec apocalipssi-2026-ollama ollama pull llama3.2:3b</t>
  </si>
  <si>
    <t xml:space="preserve">   docker exec apocalipssi-2026-ollama ollama pull phi3:mini</t>
  </si>
  <si>
    <t>3. docker compose exec backend python manage.py benchmark_llm \</t>
  </si>
  <si>
    <t xml:space="preserve">      --models ollama:llama3.1:8b ollama:llama3.2:3b ollama:phi3:mini --runs 5 --warmup 1</t>
  </si>
  <si>
    <t>4. Reporter le tableau affiché dans l'onglet « Résultats », faire noter les quiz_*.json (onglet « Grille qualité »).</t>
  </si>
  <si>
    <t>Note cloud</t>
  </si>
  <si>
    <t>Pour Groq/Cerebras la latence dépend aussi du réseau (pas seulement de la machine) : à signaler honnêtement dans l'ADR.</t>
  </si>
  <si>
    <t>BENCHMARK J2 — RÉSULTATS</t>
  </si>
  <si>
    <t>Chiffres produits par manage.py benchmark_llm — REMPLACER les cases jaunes par vos mesures.</t>
  </si>
  <si>
    <t>TABLEAU RÉCAPITULATIF (CA-J2-1)</t>
  </si>
  <si>
    <t>Modèle</t>
  </si>
  <si>
    <t>Type</t>
  </si>
  <si>
    <t>p50 (méd.)</t>
  </si>
  <si>
    <t>p95</t>
  </si>
  <si>
    <t>Succès</t>
  </si>
  <si>
    <t>RAM/VRAM</t>
  </si>
  <si>
    <t>Disque</t>
  </si>
  <si>
    <t>Qualité /5 (3 testeurs)</t>
  </si>
  <si>
    <t>llama3.1:8b (actuel)</t>
  </si>
  <si>
    <t>local</t>
  </si>
  <si>
    <t>… s</t>
  </si>
  <si>
    <t>…/5</t>
  </si>
  <si>
    <t>~6 Go</t>
  </si>
  <si>
    <t>~4.7 Go</t>
  </si>
  <si>
    <t>… /5</t>
  </si>
  <si>
    <t>llama3.2:3b</t>
  </si>
  <si>
    <t>~3 Go</t>
  </si>
  <si>
    <t>~2.0 Go</t>
  </si>
  <si>
    <t>phi3:mini</t>
  </si>
  <si>
    <t>groq llama-3.3-70b (option cloud)</t>
  </si>
  <si>
    <t>cloud</t>
  </si>
  <si>
    <t>N/A (distant)</t>
  </si>
  <si>
    <t>N/A</t>
  </si>
  <si>
    <t>VERDICT (trade-off explicite — CA-J2-4)</t>
  </si>
  <si>
    <t>BENCHMARK J2 — GRILLE QUALITÉ /5</t>
  </si>
  <si>
    <t>Notation À L'AVEUGLE des quiz_*.json (le nom du modèle n'apparaît pas dans le quiz). 1 pt par critère.</t>
  </si>
  <si>
    <t>CRITÈRES (0 ou 1 pt chacun, max 5)</t>
  </si>
  <si>
    <t>Critère</t>
  </si>
  <si>
    <t>1 pt si…</t>
  </si>
  <si>
    <t>Testeur 1</t>
  </si>
  <si>
    <t>Testeur 2</t>
  </si>
  <si>
    <t>Testeur 3</t>
  </si>
  <si>
    <t>Pertinence</t>
  </si>
  <si>
    <t>les questions portent bien sur le cours (pas de hors-sujet)</t>
  </si>
  <si>
    <t>Exactitude</t>
  </si>
  <si>
    <t>la réponse marquée correcte est réellement la bonne</t>
  </si>
  <si>
    <t>Clarté</t>
  </si>
  <si>
    <t>énoncé et options compréhensibles et bien formulés</t>
  </si>
  <si>
    <t>Distracteurs</t>
  </si>
  <si>
    <t>les 3 mauvaises options sont plausibles (pas absurdes)</t>
  </si>
  <si>
    <t>Couverture</t>
  </si>
  <si>
    <t>les 10 questions couvrent des notions variées (pas de doublons)</t>
  </si>
  <si>
    <t>TOTAL /5</t>
  </si>
  <si>
    <t>Note du modèle = moyenne des 3 totaux</t>
  </si>
  <si>
    <t>À refaire pour CHAQUE modèle (1 grille par quiz_*.json). Reporter la moyenne dans l'onglet « Résultats ».</t>
  </si>
  <si>
    <t>CPU (Intel/AMD, sans GPU) — 16 Go RAM — Windows 11 + Docker Desktop</t>
  </si>
  <si>
    <t>~2.2 Go</t>
  </si>
  <si>
    <t>--- llama3.1:8b (notee par Testeur 1) ---</t>
  </si>
  <si>
    <t>TOTAL /5 (moy. testeurs)</t>
  </si>
  <si>
    <t>--- llama3.2:3b (note par Testeur 1) ---</t>
  </si>
  <si>
    <t>--- phi3:mini (note par Testeur 1) ---</t>
  </si>
  <si>
    <t>NOTE: Testeurs 2 et 3 doivent completer leurs colonnes (D et E) pour chaque modele. Scores Testeur 1 ci-dessus.</t>
  </si>
  <si>
    <t>58.3 s</t>
  </si>
  <si>
    <t>76.7 s</t>
  </si>
  <si>
    <t>5/5</t>
  </si>
  <si>
    <t>4 /5</t>
  </si>
  <si>
    <t>26.0 s</t>
  </si>
  <si>
    <t>36.1 s</t>
  </si>
  <si>
    <t>2 /5</t>
  </si>
  <si>
    <t>40.2 s</t>
  </si>
  <si>
    <t>57.0 s</t>
  </si>
  <si>
    <t>DECISION: bascule sur llama3.2:3b. Gain latence 2.3x (p50: 58.3s -&gt; 26.0s). Trade-off: qualite 2/5 (modele plus petit) contre performance. Aucun modele CPU n'atteint 15s (cible J2), mais llama3.2:3b est le meilleur compromis. Alternative cloud (Groq) ~2s mais hors RGPD (donnees sortantes, cf J3-bis). Voir ADR associe.</t>
  </si>
  <si>
    <t>0</t>
  </si>
  <si>
    <t>1</t>
  </si>
  <si>
    <t>4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</si>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</sst>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1E1B4B"/>
      <name val="Cambria"/>
    </font>
    <font>
      <sz val="10"/>
      <color rgb="FF475569"/>
      <name val="Cambria"/>
    </font>
    <font>
      <b/>
      <sz val="12"/>
      <color rgb="FFF59E0B"/>
      <name val="Cambria"/>
    </font>
    <font>
      <b/>
      <sz val="10"/>
      <color rgb="FF1E1B4B"/>
      <name val="Cambria"/>
    </font>
    <font>
      <sz val="10"/>
      <color rgb="FF1E1B4B"/>
      <name val="Cambria"/>
    </font>
    <font>
      <sz val="9"/>
      <color rgb="FF1E1B4B"/>
      <name val="Consolas"/>
    </font>
    <font>
      <b/>
      <sz val="10"/>
      <color rgb="FFF59E0B"/>
      <name val="Cambria"/>
    </font>
    <font>
      <b/>
      <sz val="11"/>
      <color rgb="FFFFFFFF"/>
      <name val="Cambria"/>
    </font>
    <font>
      <b/>
      <sz val="11"/>
      <color rgb="FF1E1B4B"/>
      <name val="Cambria"/>
    </font>
  </fonts>
  <fills count="7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EEF2FF"/>
      </patternFill>
    </fill>
    <fill>
      <patternFill patternType="solid">
        <fgColor rgb="FFFEF3C7"/>
      </patternFill>
    </fill>
    <fill>
      <patternFill patternType="solid">
        <fgColor rgb="FF1E1B4B"/>
      </patternFill>
    </fill>
    <fill>
      <patternFill patternType="solid">
        <fgColor rgb="FFE0E7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7" fillId="0" borderId="0" xfId="0" applyFont="1"/>
    <xf numFmtId="0" fontId="8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9" fillId="6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9" fillId="6" borderId="0" xfId="0" applyFont="1" applyFill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0" xfId="0"/>
    <xf numFmtId="0" fontId="2" fillId="0" borderId="0" xfId="0" applyFont="1" applyAlignment="1">
      <alignment vertical="center" wrapText="1"/>
    </xf>
    <xf numFmtId="49" fontId="5" fillId="4" borderId="0" xfId="0" applyNumberFormat="1" applyFont="1" applyFill="1" applyAlignment="1">
      <alignment vertical="center" wrapText="1"/>
    </xf>
    <xf numFmtId="0" fontId="2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showGridLines="0" tabSelected="1" workbookViewId="0"/>
  </sheetViews>
  <sheetFormatPr baseColWidth="10" defaultColWidth="8.88671875" defaultRowHeight="14.4" x14ac:dyDescent="0.3"/>
  <cols>
    <col min="1" max="1" width="26" customWidth="1"/>
    <col min="2" max="2" width="78" customWidth="1"/>
  </cols>
  <sheetData>
    <row r="1" spans="1:2" ht="21.75" customHeight="1" x14ac:dyDescent="0.4">
      <c r="A1" s="1" t="s">
        <v>0</v>
      </c>
    </row>
    <row r="2" spans="1:2" x14ac:dyDescent="0.3">
      <c r="A2" s="2" t="s">
        <v>1</v>
      </c>
    </row>
    <row r="4" spans="1:2" ht="15.6" x14ac:dyDescent="0.3">
      <c r="A4" s="3" t="s">
        <v>2</v>
      </c>
    </row>
    <row r="5" spans="1:2" ht="30" customHeight="1" x14ac:dyDescent="0.3">
      <c r="A5" s="4" t="s">
        <v>3</v>
      </c>
      <c r="B5" s="5" t="s">
        <v>4</v>
      </c>
    </row>
    <row r="6" spans="1:2" ht="30" customHeight="1" x14ac:dyDescent="0.3">
      <c r="A6" s="4" t="s">
        <v>5</v>
      </c>
      <c r="B6" s="5" t="s">
        <v>6</v>
      </c>
    </row>
    <row r="7" spans="1:2" ht="30" customHeight="1" x14ac:dyDescent="0.3">
      <c r="A7" s="4" t="s">
        <v>7</v>
      </c>
      <c r="B7" s="5" t="s">
        <v>8</v>
      </c>
    </row>
    <row r="8" spans="1:2" ht="30" customHeight="1" x14ac:dyDescent="0.3">
      <c r="A8" s="4" t="s">
        <v>9</v>
      </c>
      <c r="B8" s="6" t="s">
        <v>73</v>
      </c>
    </row>
    <row r="9" spans="1:2" ht="30" customHeight="1" x14ac:dyDescent="0.3">
      <c r="A9" s="4" t="s">
        <v>10</v>
      </c>
      <c r="B9" s="5" t="s">
        <v>11</v>
      </c>
    </row>
    <row r="10" spans="1:2" ht="30" customHeight="1" x14ac:dyDescent="0.3">
      <c r="A10" s="4" t="s">
        <v>12</v>
      </c>
      <c r="B10" s="5" t="s">
        <v>13</v>
      </c>
    </row>
    <row r="11" spans="1:2" ht="30" customHeight="1" x14ac:dyDescent="0.3">
      <c r="A11" s="4" t="s">
        <v>14</v>
      </c>
      <c r="B11" s="5" t="s">
        <v>15</v>
      </c>
    </row>
    <row r="13" spans="1:2" ht="15.6" x14ac:dyDescent="0.3">
      <c r="A13" s="3" t="s">
        <v>16</v>
      </c>
    </row>
    <row r="14" spans="1:2" x14ac:dyDescent="0.3">
      <c r="A14" s="18" t="s">
        <v>17</v>
      </c>
      <c r="B14" s="19"/>
    </row>
    <row r="15" spans="1:2" x14ac:dyDescent="0.3">
      <c r="A15" s="18" t="s">
        <v>18</v>
      </c>
      <c r="B15" s="19"/>
    </row>
    <row r="16" spans="1:2" x14ac:dyDescent="0.3">
      <c r="A16" s="18" t="s">
        <v>19</v>
      </c>
      <c r="B16" s="19"/>
    </row>
    <row r="17" spans="1:2" x14ac:dyDescent="0.3">
      <c r="A17" s="18" t="s">
        <v>20</v>
      </c>
      <c r="B17" s="19"/>
    </row>
    <row r="18" spans="1:2" x14ac:dyDescent="0.3">
      <c r="A18" s="18" t="s">
        <v>21</v>
      </c>
      <c r="B18" s="19"/>
    </row>
    <row r="19" spans="1:2" x14ac:dyDescent="0.3">
      <c r="A19" s="18" t="s">
        <v>22</v>
      </c>
      <c r="B19" s="19"/>
    </row>
    <row r="21" spans="1:2" x14ac:dyDescent="0.3">
      <c r="A21" s="7" t="s">
        <v>23</v>
      </c>
      <c r="B21" s="20" t="s">
        <v>24</v>
      </c>
    </row>
  </sheetData>
  <mergeCells count="7">
    <mergeCell ref="A16:B16"/>
    <mergeCell ref="A15:B15"/>
    <mergeCell ref="B21"/>
    <mergeCell ref="A19:B19"/>
    <mergeCell ref="A14:B14"/>
    <mergeCell ref="A17:B17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showGridLines="0" workbookViewId="0"/>
  </sheetViews>
  <sheetFormatPr baseColWidth="10" defaultColWidth="8.88671875" defaultRowHeight="14.4" x14ac:dyDescent="0.3"/>
  <cols>
    <col min="1" max="1" width="26" customWidth="1"/>
    <col min="2" max="2" width="9" customWidth="1"/>
    <col min="3" max="3" width="13" customWidth="1"/>
    <col min="4" max="5" width="9" customWidth="1"/>
    <col min="6" max="6" width="12" customWidth="1"/>
    <col min="7" max="7" width="11" customWidth="1"/>
    <col min="8" max="8" width="18" customWidth="1"/>
  </cols>
  <sheetData>
    <row r="1" spans="1:8" ht="21.75" customHeight="1" x14ac:dyDescent="0.4">
      <c r="A1" s="1" t="s">
        <v>25</v>
      </c>
    </row>
    <row r="2" spans="1:8" x14ac:dyDescent="0.3">
      <c r="A2" s="2" t="s">
        <v>26</v>
      </c>
    </row>
    <row r="4" spans="1:8" ht="15.6" x14ac:dyDescent="0.3">
      <c r="A4" s="3" t="s">
        <v>27</v>
      </c>
    </row>
    <row r="5" spans="1:8" ht="27.75" customHeight="1" x14ac:dyDescent="0.3">
      <c r="A5" s="8" t="s">
        <v>28</v>
      </c>
      <c r="B5" s="8" t="s">
        <v>29</v>
      </c>
      <c r="C5" s="8" t="s">
        <v>30</v>
      </c>
      <c r="D5" s="8" t="s">
        <v>31</v>
      </c>
      <c r="E5" s="8" t="s">
        <v>32</v>
      </c>
      <c r="F5" s="8" t="s">
        <v>33</v>
      </c>
      <c r="G5" s="8" t="s">
        <v>34</v>
      </c>
      <c r="H5" s="8" t="s">
        <v>35</v>
      </c>
    </row>
    <row r="6" spans="1:8" ht="28.05" customHeight="1" x14ac:dyDescent="0.3">
      <c r="A6" s="9" t="s">
        <v>36</v>
      </c>
      <c r="B6" s="5" t="s">
        <v>37</v>
      </c>
      <c r="C6" s="16" t="s">
        <v>80</v>
      </c>
      <c r="D6" s="16" t="s">
        <v>81</v>
      </c>
      <c r="E6" s="16" t="s">
        <v>82</v>
      </c>
      <c r="F6" s="17" t="s">
        <v>40</v>
      </c>
      <c r="G6" s="17" t="s">
        <v>41</v>
      </c>
      <c r="H6" s="16" t="s">
        <v>83</v>
      </c>
    </row>
    <row r="7" spans="1:8" ht="28.05" customHeight="1" x14ac:dyDescent="0.3">
      <c r="A7" s="9" t="s">
        <v>43</v>
      </c>
      <c r="B7" s="5" t="s">
        <v>37</v>
      </c>
      <c r="C7" s="16" t="s">
        <v>84</v>
      </c>
      <c r="D7" s="16" t="s">
        <v>85</v>
      </c>
      <c r="E7" s="16" t="s">
        <v>82</v>
      </c>
      <c r="F7" s="17" t="s">
        <v>44</v>
      </c>
      <c r="G7" s="17" t="s">
        <v>45</v>
      </c>
      <c r="H7" s="16" t="s">
        <v>86</v>
      </c>
    </row>
    <row r="8" spans="1:8" ht="28.05" customHeight="1" x14ac:dyDescent="0.3">
      <c r="A8" s="9" t="s">
        <v>46</v>
      </c>
      <c r="B8" s="5" t="s">
        <v>37</v>
      </c>
      <c r="C8" s="16" t="s">
        <v>87</v>
      </c>
      <c r="D8" s="16" t="s">
        <v>88</v>
      </c>
      <c r="E8" s="16" t="s">
        <v>82</v>
      </c>
      <c r="F8" s="17" t="s">
        <v>44</v>
      </c>
      <c r="G8" s="17" t="s">
        <v>74</v>
      </c>
      <c r="H8" s="16" t="s">
        <v>83</v>
      </c>
    </row>
    <row r="9" spans="1:8" ht="28.05" customHeight="1" x14ac:dyDescent="0.3">
      <c r="A9" s="9" t="s">
        <v>47</v>
      </c>
      <c r="B9" s="5" t="s">
        <v>48</v>
      </c>
      <c r="C9" s="10" t="s">
        <v>38</v>
      </c>
      <c r="D9" s="10" t="s">
        <v>38</v>
      </c>
      <c r="E9" s="10" t="s">
        <v>39</v>
      </c>
      <c r="F9" s="11" t="s">
        <v>49</v>
      </c>
      <c r="G9" s="11" t="s">
        <v>50</v>
      </c>
      <c r="H9" s="10" t="s">
        <v>42</v>
      </c>
    </row>
    <row r="11" spans="1:8" ht="15.6" x14ac:dyDescent="0.3">
      <c r="A11" s="3" t="s">
        <v>51</v>
      </c>
    </row>
    <row r="12" spans="1:8" ht="70.05" customHeight="1" x14ac:dyDescent="0.3">
      <c r="A12" s="21" t="s">
        <v>89</v>
      </c>
      <c r="B12" s="19"/>
      <c r="C12" s="19"/>
      <c r="D12" s="19"/>
      <c r="E12" s="19"/>
      <c r="F12" s="19"/>
      <c r="G12" s="19"/>
      <c r="H12" s="19"/>
    </row>
  </sheetData>
  <mergeCells count="1">
    <mergeCell ref="A12:H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"/>
  <sheetViews>
    <sheetView showGridLines="0" workbookViewId="0"/>
  </sheetViews>
  <sheetFormatPr baseColWidth="10" defaultColWidth="8.88671875" defaultRowHeight="14.4" x14ac:dyDescent="0.3"/>
  <cols>
    <col min="1" max="1" width="22" customWidth="1"/>
    <col min="2" max="2" width="60" customWidth="1"/>
    <col min="3" max="6" width="14" customWidth="1"/>
  </cols>
  <sheetData>
    <row r="1" spans="1:6" ht="21.75" customHeight="1" x14ac:dyDescent="0.4">
      <c r="A1" s="1" t="s">
        <v>52</v>
      </c>
    </row>
    <row r="2" spans="1:6" x14ac:dyDescent="0.3">
      <c r="A2" s="2" t="s">
        <v>53</v>
      </c>
    </row>
    <row r="4" spans="1:6" ht="15.6" x14ac:dyDescent="0.3">
      <c r="A4" s="3" t="s">
        <v>54</v>
      </c>
    </row>
    <row r="5" spans="1:6" ht="27.75" customHeight="1" x14ac:dyDescent="0.3">
      <c r="A5" s="8" t="s">
        <v>55</v>
      </c>
      <c r="B5" s="8" t="s">
        <v>56</v>
      </c>
      <c r="C5" s="8" t="s">
        <v>57</v>
      </c>
      <c r="D5" s="8" t="s">
        <v>58</v>
      </c>
      <c r="E5" s="8" t="s">
        <v>59</v>
      </c>
    </row>
    <row r="6" spans="1:6" ht="25.95" customHeight="1" x14ac:dyDescent="0.3">
      <c r="A6" s="9" t="s">
        <v>60</v>
      </c>
      <c r="B6" s="5" t="s">
        <v>61</v>
      </c>
      <c r="C6" s="12"/>
      <c r="D6" s="12"/>
      <c r="E6" s="12"/>
    </row>
    <row r="7" spans="1:6" ht="25.95" customHeight="1" x14ac:dyDescent="0.3">
      <c r="A7" s="9" t="s">
        <v>62</v>
      </c>
      <c r="B7" s="5" t="s">
        <v>63</v>
      </c>
      <c r="C7" s="12"/>
      <c r="D7" s="12"/>
      <c r="E7" s="12"/>
    </row>
    <row r="8" spans="1:6" ht="25.95" customHeight="1" x14ac:dyDescent="0.3">
      <c r="A8" s="9" t="s">
        <v>64</v>
      </c>
      <c r="B8" s="5" t="s">
        <v>65</v>
      </c>
      <c r="C8" s="12"/>
      <c r="D8" s="12"/>
      <c r="E8" s="12"/>
    </row>
    <row r="9" spans="1:6" ht="25.95" customHeight="1" x14ac:dyDescent="0.3">
      <c r="A9" s="9" t="s">
        <v>66</v>
      </c>
      <c r="B9" s="5" t="s">
        <v>67</v>
      </c>
      <c r="C9" s="12"/>
      <c r="D9" s="12"/>
      <c r="E9" s="12"/>
    </row>
    <row r="10" spans="1:6" ht="25.95" customHeight="1" x14ac:dyDescent="0.3">
      <c r="A10" s="9" t="s">
        <v>68</v>
      </c>
      <c r="B10" s="5" t="s">
        <v>69</v>
      </c>
      <c r="C10" s="12"/>
      <c r="D10" s="12"/>
      <c r="E10" s="12"/>
    </row>
    <row r="11" spans="1:6" ht="18" customHeight="1" x14ac:dyDescent="0.3">
      <c r="A11" s="13" t="s">
        <v>70</v>
      </c>
      <c r="B11" s="14" t="s">
        <v>71</v>
      </c>
      <c r="C11" s="15">
        <f>SUM(C6:C10)</f>
        <v>0</v>
      </c>
      <c r="D11" s="15">
        <f>SUM(D6:D10)</f>
        <v>0</v>
      </c>
      <c r="E11" s="15">
        <f>SUM(E6:E10)</f>
        <v>0</v>
      </c>
    </row>
    <row r="13" spans="1:6" x14ac:dyDescent="0.3">
      <c r="A13" s="22" t="s">
        <v>72</v>
      </c>
      <c r="B13" s="19"/>
      <c r="C13" s="19"/>
      <c r="D13" s="19"/>
      <c r="E13" s="19"/>
      <c r="F13" s="19"/>
    </row>
    <row r="14" spans="1:6" x14ac:dyDescent="0.3">
      <c r="A14" t="s">
        <v>75</v>
      </c>
    </row>
    <row r="15" spans="1:6" x14ac:dyDescent="0.3">
      <c r="A15" t="s">
        <v>60</v>
      </c>
      <c r="C15">
        <v>1</v>
      </c>
      <c r="D15" s="23" t="s">
        <v>91</v>
      </c>
      <c r="E15" s="23" t="s">
        <v>91</v>
      </c>
    </row>
    <row r="16" spans="1:6" x14ac:dyDescent="0.3">
      <c r="A16" t="s">
        <v>62</v>
      </c>
      <c r="C16">
        <v>0</v>
      </c>
      <c r="D16" s="23" t="s">
        <v>90</v>
      </c>
      <c r="E16" s="23" t="s">
        <v>90</v>
      </c>
    </row>
    <row r="17" spans="1:5" x14ac:dyDescent="0.3">
      <c r="A17" t="s">
        <v>64</v>
      </c>
      <c r="C17">
        <v>1</v>
      </c>
      <c r="D17" s="23" t="s">
        <v>91</v>
      </c>
      <c r="E17" s="23" t="s">
        <v>91</v>
      </c>
    </row>
    <row r="18" spans="1:5" x14ac:dyDescent="0.3">
      <c r="A18" t="s">
        <v>66</v>
      </c>
      <c r="C18">
        <v>1</v>
      </c>
      <c r="D18" s="23" t="s">
        <v>91</v>
      </c>
      <c r="E18" s="23" t="s">
        <v>91</v>
      </c>
    </row>
    <row r="19" spans="1:5" x14ac:dyDescent="0.3">
      <c r="A19" t="s">
        <v>68</v>
      </c>
      <c r="C19">
        <v>1</v>
      </c>
      <c r="D19" s="23" t="s">
        <v>91</v>
      </c>
      <c r="E19" s="23" t="s">
        <v>91</v>
      </c>
    </row>
    <row r="20" spans="1:5" x14ac:dyDescent="0.3">
      <c r="A20" t="s">
        <v>76</v>
      </c>
      <c r="C20">
        <v>4</v>
      </c>
      <c r="D20" s="23" t="s">
        <v>92</v>
      </c>
      <c r="E20" s="23" t="s">
        <v>92</v>
      </c>
    </row>
    <row r="22" spans="1:5" x14ac:dyDescent="0.3">
      <c r="A22" t="s">
        <v>77</v>
      </c>
    </row>
    <row r="23" spans="1:5" x14ac:dyDescent="0.3">
      <c r="A23" t="s">
        <v>60</v>
      </c>
      <c r="C23">
        <v>1</v>
      </c>
      <c r="D23" s="23" t="s">
        <v>91</v>
      </c>
      <c r="E23" s="23" t="s">
        <v>91</v>
      </c>
    </row>
    <row r="24" spans="1:5" x14ac:dyDescent="0.3">
      <c r="A24" t="s">
        <v>62</v>
      </c>
      <c r="C24">
        <v>0</v>
      </c>
      <c r="D24" s="23" t="s">
        <v>90</v>
      </c>
      <c r="E24" s="23" t="s">
        <v>91</v>
      </c>
    </row>
    <row r="25" spans="1:5" x14ac:dyDescent="0.3">
      <c r="A25" t="s">
        <v>64</v>
      </c>
      <c r="C25" s="23" t="s">
        <v>90</v>
      </c>
      <c r="D25" s="23" t="s">
        <v>90</v>
      </c>
      <c r="E25" s="23" t="s">
        <v>90</v>
      </c>
    </row>
    <row r="26" spans="1:5" x14ac:dyDescent="0.3">
      <c r="A26" t="s">
        <v>66</v>
      </c>
      <c r="C26">
        <v>0</v>
      </c>
      <c r="D26" s="23" t="s">
        <v>90</v>
      </c>
      <c r="E26" s="23" t="s">
        <v>90</v>
      </c>
    </row>
    <row r="27" spans="1:5" x14ac:dyDescent="0.3">
      <c r="A27" t="s">
        <v>68</v>
      </c>
      <c r="C27">
        <v>1</v>
      </c>
      <c r="D27" s="23" t="s">
        <v>91</v>
      </c>
      <c r="E27" s="23" t="s">
        <v>91</v>
      </c>
    </row>
    <row r="28" spans="1:5" x14ac:dyDescent="0.3">
      <c r="A28" t="s">
        <v>76</v>
      </c>
      <c r="C28">
        <v>2</v>
      </c>
      <c r="D28" s="23" t="s">
        <v>93</v>
      </c>
      <c r="E28" s="23" t="s">
        <v>94</v>
      </c>
    </row>
    <row r="30" spans="1:5" x14ac:dyDescent="0.3">
      <c r="A30" t="s">
        <v>78</v>
      </c>
    </row>
    <row r="31" spans="1:5" x14ac:dyDescent="0.3">
      <c r="A31" t="s">
        <v>60</v>
      </c>
      <c r="C31">
        <v>1</v>
      </c>
      <c r="D31" s="23" t="s">
        <v>91</v>
      </c>
      <c r="E31" s="23" t="s">
        <v>91</v>
      </c>
    </row>
    <row r="32" spans="1:5" x14ac:dyDescent="0.3">
      <c r="A32" t="s">
        <v>62</v>
      </c>
      <c r="C32">
        <v>0</v>
      </c>
      <c r="D32" s="23" t="s">
        <v>90</v>
      </c>
      <c r="E32" s="23" t="s">
        <v>91</v>
      </c>
    </row>
    <row r="33" spans="1:5" x14ac:dyDescent="0.3">
      <c r="A33" t="s">
        <v>64</v>
      </c>
      <c r="C33">
        <v>1</v>
      </c>
      <c r="D33" s="23" t="s">
        <v>91</v>
      </c>
      <c r="E33" s="23" t="s">
        <v>91</v>
      </c>
    </row>
    <row r="34" spans="1:5" x14ac:dyDescent="0.3">
      <c r="A34" t="s">
        <v>66</v>
      </c>
      <c r="C34">
        <v>1</v>
      </c>
      <c r="D34" s="23" t="s">
        <v>91</v>
      </c>
      <c r="E34" s="23" t="s">
        <v>91</v>
      </c>
    </row>
    <row r="35" spans="1:5" x14ac:dyDescent="0.3">
      <c r="A35" t="s">
        <v>68</v>
      </c>
      <c r="C35">
        <v>1</v>
      </c>
      <c r="D35" s="23" t="s">
        <v>91</v>
      </c>
      <c r="E35" s="23" t="s">
        <v>90</v>
      </c>
    </row>
    <row r="36" spans="1:5" x14ac:dyDescent="0.3">
      <c r="A36" t="s">
        <v>76</v>
      </c>
      <c r="C36">
        <v>3</v>
      </c>
      <c r="D36" s="23" t="s">
        <v>92</v>
      </c>
      <c r="E36" s="23" t="s">
        <v>92</v>
      </c>
    </row>
    <row r="38" spans="1:5" x14ac:dyDescent="0.3">
      <c r="A38" t="s">
        <v>79</v>
      </c>
    </row>
  </sheetData>
  <mergeCells count="1">
    <mergeCell ref="A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Protocole</vt:lpstr>
      <vt:lpstr>Résultats</vt:lpstr>
      <vt:lpstr>Grille qualité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Russell .</cp:lastModifiedBy>
  <dcterms:created xsi:type="dcterms:W3CDTF">2026-06-30T14:01:58Z</dcterms:created>
  <dcterms:modified xsi:type="dcterms:W3CDTF">2026-06-30T16:56:44Z</dcterms:modified>
</cp:coreProperties>
</file>